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ocument\PROJECT_Likhtar\Дипломное проектирование\BuhTransPlusDip\BuhTrans\bin\Debug\"/>
    </mc:Choice>
  </mc:AlternateContent>
  <xr:revisionPtr revIDLastSave="0" documentId="13_ncr:1_{97D8EB88-0BF0-43DA-912D-FAFA17EFC97E}" xr6:coauthVersionLast="47" xr6:coauthVersionMax="47" xr10:uidLastSave="{00000000-0000-0000-0000-000000000000}"/>
  <bookViews>
    <workbookView xWindow="-108" yWindow="-108" windowWidth="23256" windowHeight="12456" xr2:uid="{E0F51E2D-4461-45BC-8633-029683ACC31D}"/>
  </bookViews>
  <sheets>
    <sheet name="Лист1" sheetId="1" r:id="rId1"/>
  </sheets>
  <definedNames>
    <definedName name="car">Лист1!$Z$8</definedName>
    <definedName name="cargoTransported">Лист1!$AA$16</definedName>
    <definedName name="cargoTurnover">Лист1!$AC$16</definedName>
    <definedName name="dateArrival">Лист1!$C$16</definedName>
    <definedName name="dateDeparture">Лист1!$B$16</definedName>
    <definedName name="driver">Лист1!$D$16</definedName>
    <definedName name="fuelArrival">Лист1!$AF$16</definedName>
    <definedName name="fuelConsum">Лист1!$AG$16</definedName>
    <definedName name="fuelDeparture">Лист1!$AD$16</definedName>
    <definedName name="linearRate">Лист1!$E$13</definedName>
    <definedName name="mileageCargo">Лист1!$Z$16</definedName>
    <definedName name="month">Лист1!$AB$6</definedName>
    <definedName name="numberWay">Лист1!$A$16</definedName>
    <definedName name="refill">Лист1!$AE$16</definedName>
    <definedName name="rides">Лист1!$AB$16</definedName>
    <definedName name="speedometerDeparture">Лист1!$E$16</definedName>
    <definedName name="totalMileage">Лист1!$G$16</definedName>
    <definedName name="typeFuel">Лист1!$AA$11</definedName>
    <definedName name="year">Лист1!$AD$6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9" i="1" l="1"/>
  <c r="AB17" i="1"/>
  <c r="G17" i="1"/>
  <c r="AE17" i="1"/>
  <c r="Z17" i="1"/>
  <c r="Y16" i="1"/>
  <c r="V16" i="1"/>
  <c r="S16" i="1"/>
  <c r="P16" i="1"/>
  <c r="M16" i="1"/>
  <c r="J16" i="1"/>
  <c r="F16" i="1"/>
  <c r="Y15" i="1"/>
  <c r="X15" i="1"/>
  <c r="W15" i="1"/>
  <c r="V15" i="1"/>
  <c r="U15" i="1"/>
  <c r="T15" i="1"/>
  <c r="AA17" i="1" l="1"/>
  <c r="AC17" i="1"/>
  <c r="AH16" i="1" l="1"/>
  <c r="AH17" i="1" s="1"/>
  <c r="AG1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arlepta</author>
  </authors>
  <commentList>
    <comment ref="AE16" authorId="0" shapeId="0" xr:uid="{E6292702-51B3-4C93-AF03-6BEE3C6B6CF0}">
      <text>
        <r>
          <rPr>
            <b/>
            <sz val="9"/>
            <color indexed="81"/>
            <rFont val="Tahoma"/>
            <family val="2"/>
            <charset val="204"/>
          </rPr>
          <t xml:space="preserve">16.02-200
16.02-150
20.02-474,37
20.02-421,28
</t>
        </r>
      </text>
    </comment>
  </commentList>
</comments>
</file>

<file path=xl/sharedStrings.xml><?xml version="1.0" encoding="utf-8"?>
<sst xmlns="http://schemas.openxmlformats.org/spreadsheetml/2006/main" count="38" uniqueCount="28">
  <si>
    <t>(наименование перевозчика(штамп(печать))</t>
  </si>
  <si>
    <t>Карточка учета расхода топлива по грузовому автомобилю.</t>
  </si>
  <si>
    <t>Автомобиль</t>
  </si>
  <si>
    <t>Цель использования автомобиля:</t>
  </si>
  <si>
    <t>Перевозка груза</t>
  </si>
  <si>
    <t>Вид топлива:</t>
  </si>
  <si>
    <t>Путевой лист</t>
  </si>
  <si>
    <t>Водитель</t>
  </si>
  <si>
    <t>Показания спидометра при выезде</t>
  </si>
  <si>
    <t>Показания спидометра при возращении</t>
  </si>
  <si>
    <t>Общий пробег, км</t>
  </si>
  <si>
    <t>пробег с грузом 1</t>
  </si>
  <si>
    <t>перевезено тонн 1</t>
  </si>
  <si>
    <t>грузооборот1</t>
  </si>
  <si>
    <t>Пробег с грузом, км</t>
  </si>
  <si>
    <t>Перевезено,тонн</t>
  </si>
  <si>
    <t>кол-во ездок с грузом</t>
  </si>
  <si>
    <t>Грузооборот выполнено т/км</t>
  </si>
  <si>
    <t>остаток топлива при выезде</t>
  </si>
  <si>
    <t>заправка</t>
  </si>
  <si>
    <t>Остаток при возращении</t>
  </si>
  <si>
    <t>расход топлива по нормам</t>
  </si>
  <si>
    <t>Расход топлива,л факт</t>
  </si>
  <si>
    <t>ИТОГО</t>
  </si>
  <si>
    <t xml:space="preserve">Директор </t>
  </si>
  <si>
    <t>Линейная норма:</t>
  </si>
  <si>
    <t>Дата выезда</t>
  </si>
  <si>
    <t>Дата прибытия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</si>
</sst>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"/>
    <numFmt numFmtId="166" formatCode="#,##0.0"/>
  </numFmts>
  <fonts count="11" x14ac:knownFonts="1">
    <font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i/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sz val="12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/>
    <xf numFmtId="0" fontId="2" fillId="0" borderId="1" xfId="0" applyFont="1" applyBorder="1"/>
    <xf numFmtId="0" fontId="3" fillId="0" borderId="1" xfId="0" applyFont="1" applyBorder="1" applyAlignment="1">
      <alignment horizontal="center" wrapText="1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2" fillId="0" borderId="2" xfId="0" applyFont="1" applyBorder="1"/>
    <xf numFmtId="0" fontId="9" fillId="0" borderId="0" xfId="0" applyFont="1"/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3" borderId="5" xfId="0" applyFont="1" applyFill="1" applyBorder="1" applyAlignment="1">
      <alignment horizontal="center" vertical="center" wrapText="1"/>
    </xf>
    <xf numFmtId="0" fontId="8" fillId="4" borderId="5" xfId="0" applyFont="1" applyFill="1" applyBorder="1" applyAlignment="1">
      <alignment horizontal="center" vertical="center" wrapText="1"/>
    </xf>
    <xf numFmtId="0" fontId="8" fillId="5" borderId="5" xfId="0" applyFont="1" applyFill="1" applyBorder="1" applyAlignment="1">
      <alignment horizontal="center" vertical="center" wrapText="1"/>
    </xf>
    <xf numFmtId="0" fontId="8" fillId="6" borderId="5" xfId="0" applyFont="1" applyFill="1" applyBorder="1" applyAlignment="1">
      <alignment horizontal="center" vertical="center" wrapText="1"/>
    </xf>
    <xf numFmtId="0" fontId="8" fillId="7" borderId="5" xfId="0" applyFont="1" applyFill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14" fontId="2" fillId="2" borderId="6" xfId="0" applyNumberFormat="1" applyFont="1" applyFill="1" applyBorder="1" applyAlignment="1">
      <alignment horizontal="center" vertical="center" wrapText="1"/>
    </xf>
    <xf numFmtId="1" fontId="2" fillId="2" borderId="6" xfId="0" applyNumberFormat="1" applyFont="1" applyFill="1" applyBorder="1" applyAlignment="1">
      <alignment horizontal="center" vertical="center" wrapText="1"/>
    </xf>
    <xf numFmtId="1" fontId="10" fillId="0" borderId="6" xfId="0" applyNumberFormat="1" applyFont="1" applyBorder="1" applyAlignment="1">
      <alignment vertical="center" wrapText="1"/>
    </xf>
    <xf numFmtId="165" fontId="2" fillId="2" borderId="6" xfId="0" applyNumberFormat="1" applyFont="1" applyFill="1" applyBorder="1" applyAlignment="1">
      <alignment horizontal="center" vertical="center" wrapText="1"/>
    </xf>
    <xf numFmtId="2" fontId="2" fillId="2" borderId="6" xfId="0" applyNumberFormat="1" applyFont="1" applyFill="1" applyBorder="1" applyAlignment="1">
      <alignment horizontal="center" vertical="center" wrapText="1"/>
    </xf>
    <xf numFmtId="2" fontId="10" fillId="0" borderId="6" xfId="0" applyNumberFormat="1" applyFont="1" applyBorder="1" applyAlignment="1">
      <alignment horizontal="center" vertical="center" wrapText="1"/>
    </xf>
    <xf numFmtId="2" fontId="10" fillId="0" borderId="6" xfId="0" applyNumberFormat="1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 wrapText="1"/>
    </xf>
    <xf numFmtId="14" fontId="10" fillId="0" borderId="6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165" fontId="3" fillId="0" borderId="6" xfId="0" applyNumberFormat="1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4" fontId="3" fillId="0" borderId="6" xfId="0" applyNumberFormat="1" applyFont="1" applyBorder="1" applyAlignment="1">
      <alignment horizontal="center" vertical="center" wrapText="1"/>
    </xf>
    <xf numFmtId="2" fontId="3" fillId="0" borderId="6" xfId="0" applyNumberFormat="1" applyFont="1" applyBorder="1" applyAlignment="1">
      <alignment horizontal="center" vertical="center" wrapText="1"/>
    </xf>
    <xf numFmtId="2" fontId="3" fillId="0" borderId="6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65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6" fontId="3" fillId="0" borderId="0" xfId="0" applyNumberFormat="1" applyFont="1" applyAlignment="1">
      <alignment horizontal="center" vertical="center" wrapText="1"/>
    </xf>
    <xf numFmtId="2" fontId="3" fillId="0" borderId="0" xfId="0" applyNumberFormat="1" applyFont="1" applyAlignment="1">
      <alignment horizontal="center" vertical="center" wrapText="1"/>
    </xf>
    <xf numFmtId="2" fontId="3" fillId="0" borderId="0" xfId="0" applyNumberFormat="1" applyFont="1" applyAlignment="1">
      <alignment horizontal="center" vertical="center"/>
    </xf>
    <xf numFmtId="0" fontId="10" fillId="0" borderId="0" xfId="0" applyFont="1"/>
    <xf numFmtId="14" fontId="10" fillId="0" borderId="1" xfId="0" applyNumberFormat="1" applyFont="1" applyBorder="1" applyAlignment="1">
      <alignment horizontal="center" vertical="center" wrapText="1"/>
    </xf>
    <xf numFmtId="0" fontId="10" fillId="0" borderId="2" xfId="0" applyFont="1" applyBorder="1"/>
    <xf numFmtId="2" fontId="2" fillId="0" borderId="0" xfId="0" applyNumberFormat="1" applyFont="1"/>
    <xf numFmtId="0" fontId="2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Alignment="1"/>
    <xf numFmtId="1" fontId="3" fillId="0" borderId="6" xfId="0" applyNumberFormat="1" applyFont="1" applyBorder="1" applyAlignment="1">
      <alignment horizontal="right" vertical="center" wrapText="1"/>
    </xf>
    <xf numFmtId="0" fontId="8" fillId="0" borderId="8" xfId="0" applyFont="1" applyBorder="1" applyAlignment="1">
      <alignment horizontal="center" vertical="center" wrapText="1"/>
    </xf>
    <xf numFmtId="14" fontId="10" fillId="0" borderId="6" xfId="0" applyNumberFormat="1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1" fontId="3" fillId="0" borderId="0" xfId="0" applyNumberFormat="1" applyFont="1" applyBorder="1" applyAlignment="1">
      <alignment horizontal="center" vertical="center" wrapText="1"/>
    </xf>
    <xf numFmtId="2" fontId="5" fillId="0" borderId="0" xfId="0" applyNumberFormat="1" applyFont="1"/>
    <xf numFmtId="2" fontId="6" fillId="0" borderId="0" xfId="0" applyNumberFormat="1" applyFont="1"/>
    <xf numFmtId="2" fontId="8" fillId="3" borderId="5" xfId="0" applyNumberFormat="1" applyFont="1" applyFill="1" applyBorder="1" applyAlignment="1">
      <alignment horizontal="center" vertical="center" wrapText="1"/>
    </xf>
    <xf numFmtId="1" fontId="3" fillId="0" borderId="0" xfId="0" applyNumberFormat="1" applyFont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10" fillId="0" borderId="0" xfId="0" applyFont="1" applyAlignment="1">
      <alignment horizontal="center"/>
    </xf>
    <xf numFmtId="1" fontId="3" fillId="0" borderId="11" xfId="0" applyNumberFormat="1" applyFont="1" applyBorder="1" applyAlignment="1">
      <alignment vertical="center" wrapText="1"/>
    </xf>
    <xf numFmtId="0" fontId="7" fillId="0" borderId="0" xfId="0" applyFont="1" applyAlignment="1"/>
    <xf numFmtId="0" fontId="8" fillId="0" borderId="0" xfId="0" applyFont="1" applyAlignment="1"/>
    <xf numFmtId="0" fontId="2" fillId="0" borderId="0" xfId="0" applyFont="1" applyAlignment="1"/>
    <xf numFmtId="0" fontId="2" fillId="0" borderId="3" xfId="0" applyFont="1" applyBorder="1" applyAlignment="1"/>
    <xf numFmtId="0" fontId="2" fillId="0" borderId="1" xfId="0" applyFont="1" applyBorder="1" applyAlignment="1">
      <alignment horizontal="center"/>
    </xf>
    <xf numFmtId="0" fontId="2" fillId="0" borderId="0" xfId="0" applyFont="1" applyBorder="1"/>
  </cellXfs>
  <cellStyles count="1">
    <cellStyle name="Обычный" xfId="0" builtinId="0"/>
  </cellStyles>
  <dxfs count="8">
    <dxf>
      <fill>
        <patternFill>
          <bgColor rgb="FFFF0000"/>
        </patternFill>
      </fill>
    </dxf>
    <dxf>
      <numFmt numFmtId="164" formatCode="\!\Б\О\Л\Ь\Ш\Е\ \Б\А\К\А\!"/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numFmt numFmtId="164" formatCode="\!\Б\О\Л\Ь\Ш\Е\ \Б\А\К\А\!"/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numFmt numFmtId="164" formatCode="\!\Б\О\Л\Ь\Ш\Е\ \Б\А\К\А\!"/>
      <fill>
        <patternFill>
          <bgColor theme="7" tint="0.39994506668294322"/>
        </patternFill>
      </fill>
    </dxf>
    <dxf>
      <fill>
        <patternFill>
          <bgColor rgb="FFFF0000"/>
        </patternFill>
      </fill>
    </dxf>
    <dxf>
      <numFmt numFmtId="164" formatCode="\!\Б\О\Л\Ь\Ш\Е\ \Б\А\К\А\!"/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D55BF-8538-4C34-885F-11B18ACA3EE2}">
  <dimension ref="A1:AH21"/>
  <sheetViews>
    <sheetView tabSelected="1" topLeftCell="B1" zoomScale="70" zoomScaleNormal="70" workbookViewId="0">
      <selection activeCell="G20" sqref="G20:J20"/>
    </sheetView>
  </sheetViews>
  <sheetFormatPr defaultRowHeight="13.8" x14ac:dyDescent="0.25"/>
  <cols>
    <col min="1" max="1" width="9.21875" style="1" customWidth="1"/>
    <col min="2" max="2" width="8.88671875" style="1"/>
    <col min="3" max="3" width="12.33203125" style="1" customWidth="1"/>
    <col min="4" max="4" width="13" style="1" customWidth="1"/>
    <col min="5" max="5" width="11.77734375" style="1" customWidth="1"/>
    <col min="6" max="6" width="11.21875" style="1" customWidth="1"/>
    <col min="7" max="9" width="9" style="1" bestFit="1" customWidth="1"/>
    <col min="10" max="10" width="9.5546875" style="48" bestFit="1" customWidth="1"/>
    <col min="11" max="12" width="9" style="1" bestFit="1" customWidth="1"/>
    <col min="13" max="13" width="9.5546875" style="1" bestFit="1" customWidth="1"/>
    <col min="14" max="16" width="9" style="1" bestFit="1" customWidth="1"/>
    <col min="17" max="18" width="8.88671875" style="1"/>
    <col min="19" max="19" width="9" style="1" bestFit="1" customWidth="1"/>
    <col min="20" max="21" width="8.88671875" style="1"/>
    <col min="22" max="22" width="9" style="1" bestFit="1" customWidth="1"/>
    <col min="23" max="24" width="8.88671875" style="1"/>
    <col min="25" max="26" width="9" style="1" bestFit="1" customWidth="1"/>
    <col min="27" max="27" width="11.44140625" style="1" customWidth="1"/>
    <col min="28" max="28" width="6.88671875" style="1" customWidth="1"/>
    <col min="29" max="29" width="11.88671875" style="1" customWidth="1"/>
    <col min="30" max="30" width="9" style="1" bestFit="1" customWidth="1"/>
    <col min="31" max="31" width="9.44140625" style="1" bestFit="1" customWidth="1"/>
    <col min="32" max="32" width="11.5546875" style="1" customWidth="1"/>
    <col min="33" max="34" width="9" style="1" bestFit="1" customWidth="1"/>
    <col min="35" max="16384" width="8.88671875" style="1"/>
  </cols>
  <sheetData>
    <row r="1" spans="1:34" ht="15.6" x14ac:dyDescent="0.3">
      <c r="C1" s="2"/>
      <c r="D1" s="3"/>
      <c r="E1" s="3"/>
      <c r="F1" s="3"/>
      <c r="G1" s="3"/>
    </row>
    <row r="2" spans="1:34" x14ac:dyDescent="0.25">
      <c r="C2" s="4" t="s">
        <v>0</v>
      </c>
    </row>
    <row r="4" spans="1:34" ht="17.399999999999999" x14ac:dyDescent="0.3">
      <c r="G4" s="5" t="s">
        <v>1</v>
      </c>
      <c r="H4" s="5"/>
      <c r="I4" s="5"/>
      <c r="J4" s="58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</row>
    <row r="5" spans="1:34" ht="17.399999999999999" x14ac:dyDescent="0.3">
      <c r="G5" s="5"/>
      <c r="H5" s="5"/>
      <c r="I5" s="5"/>
      <c r="J5" s="58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</row>
    <row r="6" spans="1:34" x14ac:dyDescent="0.25">
      <c r="A6" s="6"/>
      <c r="B6" s="6"/>
      <c r="C6" s="6"/>
      <c r="D6" s="6"/>
      <c r="E6" s="6"/>
      <c r="F6" s="6"/>
      <c r="G6" s="6"/>
      <c r="H6" s="6"/>
      <c r="I6" s="6"/>
      <c r="J6" s="59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5"/>
      <c r="AA6" s="66"/>
      <c r="AB6" s="7"/>
      <c r="AC6" s="7"/>
      <c r="AD6" s="8"/>
      <c r="AE6" s="9"/>
      <c r="AF6" s="6"/>
      <c r="AG6" s="6"/>
      <c r="AH6" s="6"/>
    </row>
    <row r="8" spans="1:34" ht="16.2" customHeight="1" x14ac:dyDescent="0.25">
      <c r="C8" s="1" t="s">
        <v>2</v>
      </c>
      <c r="X8" s="67"/>
      <c r="Y8" s="67"/>
      <c r="Z8" s="69"/>
      <c r="AA8" s="69"/>
      <c r="AB8" s="69"/>
      <c r="AC8" s="69"/>
      <c r="AD8" s="69"/>
      <c r="AE8" s="69"/>
      <c r="AF8" s="67"/>
      <c r="AG8" s="67"/>
    </row>
    <row r="9" spans="1:34" x14ac:dyDescent="0.25">
      <c r="Z9" s="70"/>
      <c r="AA9" s="70"/>
      <c r="AB9" s="70"/>
      <c r="AC9" s="70"/>
      <c r="AD9" s="70"/>
      <c r="AE9" s="70"/>
    </row>
    <row r="10" spans="1:34" x14ac:dyDescent="0.25">
      <c r="C10" s="49" t="s">
        <v>3</v>
      </c>
      <c r="D10" s="49"/>
      <c r="E10" s="49"/>
      <c r="Z10" s="2"/>
      <c r="AA10" s="2" t="s">
        <v>4</v>
      </c>
      <c r="AB10" s="2"/>
      <c r="AC10" s="2"/>
      <c r="AD10" s="2"/>
      <c r="AE10" s="2"/>
    </row>
    <row r="11" spans="1:34" x14ac:dyDescent="0.25">
      <c r="C11" s="1" t="s">
        <v>5</v>
      </c>
      <c r="Z11" s="10"/>
      <c r="AA11" s="10"/>
      <c r="AB11" s="10"/>
      <c r="AC11" s="10"/>
      <c r="AD11" s="10"/>
      <c r="AE11" s="10"/>
    </row>
    <row r="13" spans="1:34" ht="14.4" x14ac:dyDescent="0.3">
      <c r="C13" s="50" t="s">
        <v>25</v>
      </c>
      <c r="D13" s="50"/>
      <c r="E13" s="51"/>
      <c r="AC13" s="67"/>
      <c r="AD13" s="67"/>
      <c r="AE13" s="67"/>
      <c r="AF13" s="67"/>
      <c r="AG13" s="67"/>
    </row>
    <row r="14" spans="1:34" ht="15" thickBot="1" x14ac:dyDescent="0.35">
      <c r="C14" s="11"/>
      <c r="AC14" s="68"/>
      <c r="AD14" s="68"/>
      <c r="AE14" s="68"/>
      <c r="AF14" s="68"/>
      <c r="AG14" s="68"/>
    </row>
    <row r="15" spans="1:34" ht="66" x14ac:dyDescent="0.25">
      <c r="A15" s="12" t="s">
        <v>6</v>
      </c>
      <c r="B15" s="56" t="s">
        <v>26</v>
      </c>
      <c r="C15" s="19" t="s">
        <v>27</v>
      </c>
      <c r="D15" s="55" t="s">
        <v>7</v>
      </c>
      <c r="E15" s="53" t="s">
        <v>8</v>
      </c>
      <c r="F15" s="13" t="s">
        <v>9</v>
      </c>
      <c r="G15" s="13" t="s">
        <v>10</v>
      </c>
      <c r="H15" s="14" t="s">
        <v>11</v>
      </c>
      <c r="I15" s="14" t="s">
        <v>12</v>
      </c>
      <c r="J15" s="60" t="s">
        <v>13</v>
      </c>
      <c r="K15" s="15" t="s">
        <v>11</v>
      </c>
      <c r="L15" s="15" t="s">
        <v>12</v>
      </c>
      <c r="M15" s="15" t="s">
        <v>13</v>
      </c>
      <c r="N15" s="16" t="s">
        <v>11</v>
      </c>
      <c r="O15" s="16" t="s">
        <v>12</v>
      </c>
      <c r="P15" s="16" t="s">
        <v>13</v>
      </c>
      <c r="Q15" s="14" t="s">
        <v>11</v>
      </c>
      <c r="R15" s="14" t="s">
        <v>12</v>
      </c>
      <c r="S15" s="14" t="s">
        <v>13</v>
      </c>
      <c r="T15" s="17" t="str">
        <f t="shared" ref="T15:Y15" si="0">N15</f>
        <v>пробег с грузом 1</v>
      </c>
      <c r="U15" s="17" t="str">
        <f t="shared" si="0"/>
        <v>перевезено тонн 1</v>
      </c>
      <c r="V15" s="17" t="str">
        <f t="shared" si="0"/>
        <v>грузооборот1</v>
      </c>
      <c r="W15" s="18" t="str">
        <f t="shared" si="0"/>
        <v>пробег с грузом 1</v>
      </c>
      <c r="X15" s="18" t="str">
        <f t="shared" si="0"/>
        <v>перевезено тонн 1</v>
      </c>
      <c r="Y15" s="18" t="str">
        <f t="shared" si="0"/>
        <v>грузооборот1</v>
      </c>
      <c r="Z15" s="13" t="s">
        <v>14</v>
      </c>
      <c r="AA15" s="13" t="s">
        <v>15</v>
      </c>
      <c r="AB15" s="13" t="s">
        <v>16</v>
      </c>
      <c r="AC15" s="13" t="s">
        <v>17</v>
      </c>
      <c r="AD15" s="13" t="s">
        <v>18</v>
      </c>
      <c r="AE15" s="13" t="s">
        <v>19</v>
      </c>
      <c r="AF15" s="13" t="s">
        <v>20</v>
      </c>
      <c r="AG15" s="13" t="s">
        <v>21</v>
      </c>
      <c r="AH15" s="13" t="s">
        <v>22</v>
      </c>
    </row>
    <row r="16" spans="1:34" ht="15.6" x14ac:dyDescent="0.25">
      <c r="A16" s="20"/>
      <c r="B16" s="20"/>
      <c r="C16" s="21"/>
      <c r="D16" s="54"/>
      <c r="E16" s="22"/>
      <c r="F16" s="22">
        <f>E16+G16</f>
        <v>0</v>
      </c>
      <c r="G16" s="23"/>
      <c r="H16" s="20"/>
      <c r="I16" s="24"/>
      <c r="J16" s="25">
        <f>H16*I16</f>
        <v>0</v>
      </c>
      <c r="K16" s="20"/>
      <c r="L16" s="24"/>
      <c r="M16" s="25">
        <f>K16*L16</f>
        <v>0</v>
      </c>
      <c r="N16" s="20"/>
      <c r="O16" s="24"/>
      <c r="P16" s="20">
        <f>N16*O16</f>
        <v>0</v>
      </c>
      <c r="Q16" s="20"/>
      <c r="R16" s="24"/>
      <c r="S16" s="25">
        <f>Q16*R16</f>
        <v>0</v>
      </c>
      <c r="T16" s="20"/>
      <c r="U16" s="20"/>
      <c r="V16" s="25">
        <f>T16*U16</f>
        <v>0</v>
      </c>
      <c r="W16" s="20"/>
      <c r="X16" s="20"/>
      <c r="Y16" s="25">
        <f>W16*X16</f>
        <v>0</v>
      </c>
      <c r="Z16" s="20"/>
      <c r="AA16" s="24"/>
      <c r="AB16" s="20"/>
      <c r="AC16" s="25"/>
      <c r="AD16" s="25"/>
      <c r="AE16" s="20"/>
      <c r="AF16" s="25"/>
      <c r="AG16" s="26"/>
      <c r="AH16" s="27">
        <f>AG16</f>
        <v>0</v>
      </c>
    </row>
    <row r="17" spans="1:34" ht="15.6" x14ac:dyDescent="0.25">
      <c r="A17" s="28" t="s">
        <v>23</v>
      </c>
      <c r="B17" s="28"/>
      <c r="C17" s="29"/>
      <c r="D17" s="29"/>
      <c r="E17" s="29"/>
      <c r="F17" s="29"/>
      <c r="G17" s="52">
        <f>SUM(G16:G16)</f>
        <v>0</v>
      </c>
      <c r="H17" s="30"/>
      <c r="I17" s="30"/>
      <c r="J17" s="35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1">
        <f>SUM(Z16:Z16)</f>
        <v>0</v>
      </c>
      <c r="AA17" s="32">
        <f>SUM(AA16:AA16)</f>
        <v>0</v>
      </c>
      <c r="AB17" s="33">
        <f>SUM(AB16:AB16)</f>
        <v>0</v>
      </c>
      <c r="AC17" s="34">
        <f>SUM(AC16:AC16)</f>
        <v>0</v>
      </c>
      <c r="AD17" s="35"/>
      <c r="AE17" s="32">
        <f>SUM(AE16:AE16)</f>
        <v>0</v>
      </c>
      <c r="AF17" s="36"/>
      <c r="AG17" s="35">
        <f>SUM(AG16:AG16)</f>
        <v>0</v>
      </c>
      <c r="AH17" s="36">
        <f>SUM(AH16:AH16)</f>
        <v>0</v>
      </c>
    </row>
    <row r="18" spans="1:34" ht="15.6" x14ac:dyDescent="0.25">
      <c r="A18" s="37"/>
      <c r="B18" s="37"/>
      <c r="C18" s="38"/>
      <c r="D18" s="38"/>
      <c r="E18" s="38"/>
      <c r="F18" s="38"/>
      <c r="G18" s="39"/>
      <c r="H18" s="39"/>
      <c r="I18" s="39"/>
      <c r="J18" s="43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64"/>
      <c r="Z18" s="64"/>
      <c r="AA18" s="64"/>
      <c r="AB18" s="41"/>
      <c r="AC18" s="42"/>
      <c r="AD18" s="43"/>
      <c r="AE18" s="40"/>
      <c r="AF18" s="44"/>
      <c r="AG18" s="43"/>
      <c r="AH18" s="44"/>
    </row>
    <row r="19" spans="1:34" ht="20.399999999999999" customHeight="1" x14ac:dyDescent="0.3">
      <c r="A19" s="37" t="s">
        <v>7</v>
      </c>
      <c r="B19" s="37"/>
      <c r="C19" s="46"/>
      <c r="D19" s="46"/>
      <c r="E19" s="46"/>
      <c r="F19" s="46"/>
      <c r="G19" s="61">
        <f>driver</f>
        <v>0</v>
      </c>
      <c r="H19" s="61"/>
      <c r="I19" s="61"/>
      <c r="J19" s="61"/>
      <c r="K19" s="57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62"/>
      <c r="AC19" s="62"/>
      <c r="AD19" s="43"/>
      <c r="AE19" s="43"/>
      <c r="AF19" s="44"/>
      <c r="AG19" s="45"/>
      <c r="AH19" s="44"/>
    </row>
    <row r="20" spans="1:34" ht="22.2" customHeight="1" x14ac:dyDescent="0.3">
      <c r="A20" s="45" t="s">
        <v>24</v>
      </c>
      <c r="B20" s="45"/>
      <c r="C20" s="47"/>
      <c r="D20" s="47"/>
      <c r="E20" s="47"/>
      <c r="F20" s="47"/>
      <c r="G20" s="63"/>
      <c r="H20" s="63"/>
      <c r="I20" s="63"/>
      <c r="J20" s="63"/>
      <c r="K20" s="45"/>
      <c r="Z20" s="45"/>
      <c r="AA20" s="45"/>
      <c r="AE20" s="48"/>
    </row>
    <row r="21" spans="1:34" ht="15.6" x14ac:dyDescent="0.3">
      <c r="A21" s="45"/>
      <c r="B21" s="45"/>
      <c r="C21" s="45"/>
      <c r="D21" s="45"/>
      <c r="E21" s="45"/>
      <c r="F21" s="45"/>
      <c r="G21" s="45"/>
      <c r="H21" s="45"/>
      <c r="T21" s="45"/>
      <c r="U21" s="45"/>
      <c r="V21" s="45"/>
      <c r="W21" s="45"/>
      <c r="X21" s="45"/>
      <c r="Y21" s="45"/>
      <c r="Z21" s="45"/>
      <c r="AA21" s="45"/>
    </row>
  </sheetData>
  <mergeCells count="8">
    <mergeCell ref="C13:D13"/>
    <mergeCell ref="G19:J19"/>
    <mergeCell ref="G20:J20"/>
    <mergeCell ref="Z8:AE8"/>
    <mergeCell ref="D1:G1"/>
    <mergeCell ref="AB6:AC6"/>
    <mergeCell ref="C17:F17"/>
    <mergeCell ref="C10:E10"/>
  </mergeCells>
  <conditionalFormatting sqref="AF16">
    <cfRule type="cellIs" dxfId="7" priority="15" stopIfTrue="1" operator="greaterThan">
      <formula>860</formula>
    </cfRule>
    <cfRule type="cellIs" dxfId="6" priority="16" stopIfTrue="1" operator="lessThan">
      <formula>0</formula>
    </cfRule>
  </conditionalFormatting>
  <conditionalFormatting sqref="AD16">
    <cfRule type="cellIs" dxfId="5" priority="13" stopIfTrue="1" operator="greaterThan">
      <formula>860</formula>
    </cfRule>
    <cfRule type="cellIs" dxfId="4" priority="14" stopIfTrue="1" operator="lessThan">
      <formula>0</formula>
    </cfRule>
  </conditionalFormatting>
  <conditionalFormatting sqref="AD16">
    <cfRule type="cellIs" dxfId="3" priority="11" stopIfTrue="1" operator="greaterThan">
      <formula>860</formula>
    </cfRule>
    <cfRule type="cellIs" dxfId="2" priority="12" stopIfTrue="1" operator="lessThan">
      <formula>0</formula>
    </cfRule>
  </conditionalFormatting>
  <conditionalFormatting sqref="AD16">
    <cfRule type="cellIs" dxfId="1" priority="9" stopIfTrue="1" operator="greaterThan">
      <formula>860</formula>
    </cfRule>
    <cfRule type="cellIs" dxfId="0" priority="10" stopIfTrue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19</vt:i4>
      </vt:variant>
    </vt:vector>
  </HeadingPairs>
  <TitlesOfParts>
    <vt:vector size="20" baseType="lpstr">
      <vt:lpstr>Лист1</vt:lpstr>
      <vt:lpstr>car</vt:lpstr>
      <vt:lpstr>cargoTransported</vt:lpstr>
      <vt:lpstr>cargoTurnover</vt:lpstr>
      <vt:lpstr>dateArrival</vt:lpstr>
      <vt:lpstr>dateDeparture</vt:lpstr>
      <vt:lpstr>driver</vt:lpstr>
      <vt:lpstr>fuelArrival</vt:lpstr>
      <vt:lpstr>fuelConsum</vt:lpstr>
      <vt:lpstr>fuelDeparture</vt:lpstr>
      <vt:lpstr>linearRate</vt:lpstr>
      <vt:lpstr>mileageCargo</vt:lpstr>
      <vt:lpstr>month</vt:lpstr>
      <vt:lpstr>numberWay</vt:lpstr>
      <vt:lpstr>refill</vt:lpstr>
      <vt:lpstr>rides</vt:lpstr>
      <vt:lpstr>speedometerDeparture</vt:lpstr>
      <vt:lpstr>totalMileage</vt:lpstr>
      <vt:lpstr>typeFuel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Yulia</dc:creator>
  <cp:lastModifiedBy>Yulia</cp:lastModifiedBy>
  <dcterms:created xsi:type="dcterms:W3CDTF">2022-04-17T14:27:03Z</dcterms:created>
  <dcterms:modified xsi:type="dcterms:W3CDTF">2022-04-17T16:43:41Z</dcterms:modified>
</cp:coreProperties>
</file>